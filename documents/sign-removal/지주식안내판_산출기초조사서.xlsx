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지주식 안내판 철거" sheetId="1" state="visible" r:id="rId3"/>
  </sheets>
  <definedNames>
    <definedName function="false" hidden="false" localSheetId="0" name="_xlnm.Print_Area" vbProcedure="false">'지주식 안내판 철거'!$A$1:$I$18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산출기준</author>
    <author>작성근거</author>
  </authors>
  <commentList>
    <comment ref="E5" authorId="1">
      <text>
        <r>
          <rPr>
            <sz val="10"/>
            <rFont val="Noto Sans CJK SC"/>
            <family val="2"/>
          </rPr>
          <t xml:space="preserve">국민전력기업</t>
        </r>
        <r>
          <rPr>
            <sz val="10"/>
            <rFont val="Arial"/>
            <family val="2"/>
          </rPr>
          <t xml:space="preserve">: 7</t>
        </r>
        <r>
          <rPr>
            <sz val="10"/>
            <rFont val="Noto Sans CJK SC"/>
            <family val="2"/>
          </rPr>
          <t xml:space="preserve">개소 </t>
        </r>
        <r>
          <rPr>
            <sz val="10"/>
            <rFont val="Arial"/>
            <family val="2"/>
          </rPr>
          <t xml:space="preserve">× 387,000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 xml:space="preserve">= 2,709,000</t>
        </r>
        <r>
          <rPr>
            <sz val="10"/>
            <rFont val="Noto Sans CJK SC"/>
            <family val="2"/>
          </rPr>
          <t xml:space="preserve">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절사 전 소계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절사 </t>
        </r>
        <r>
          <rPr>
            <sz val="10"/>
            <rFont val="Arial"/>
            <family val="2"/>
          </rPr>
          <t xml:space="preserve">-9,000</t>
        </r>
        <r>
          <rPr>
            <sz val="10"/>
            <rFont val="Noto Sans CJK SC"/>
            <family val="2"/>
          </rPr>
          <t xml:space="preserve">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부가세 </t>
        </r>
        <r>
          <rPr>
            <sz val="10"/>
            <rFont val="Arial"/>
            <family val="2"/>
          </rPr>
          <t xml:space="preserve">270,000</t>
        </r>
        <r>
          <rPr>
            <sz val="10"/>
            <rFont val="Noto Sans CJK SC"/>
            <family val="2"/>
          </rPr>
          <t xml:space="preserve">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총액 </t>
        </r>
        <r>
          <rPr>
            <sz val="10"/>
            <rFont val="Arial"/>
            <family val="2"/>
          </rPr>
          <t xml:space="preserve">2,970,000</t>
        </r>
        <r>
          <rPr>
            <sz val="10"/>
            <rFont val="Noto Sans CJK SC"/>
            <family val="2"/>
          </rPr>
          <t xml:space="preserve">원</t>
        </r>
        <r>
          <rPr>
            <sz val="10"/>
            <rFont val="Arial"/>
            <family val="2"/>
          </rPr>
          <t xml:space="preserve">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125</xdr:colOff>
                <xdr:row>1</xdr:row>
                <xdr:rowOff>28</xdr:rowOff>
              </xdr:to>
            </anchor>
          </commentPr>
        </mc:Choice>
        <mc:Fallback/>
      </mc:AlternateContent>
    </comment>
    <comment ref="F5" authorId="1">
      <text>
        <r>
          <rPr>
            <sz val="10"/>
            <rFont val="Noto Sans CJK SC"/>
            <family val="2"/>
          </rPr>
          <t xml:space="preserve">경동이엔씨</t>
        </r>
        <r>
          <rPr>
            <sz val="10"/>
            <rFont val="Arial"/>
            <family val="2"/>
          </rPr>
          <t xml:space="preserve">: 7</t>
        </r>
        <r>
          <rPr>
            <sz val="10"/>
            <rFont val="Noto Sans CJK SC"/>
            <family val="2"/>
          </rPr>
          <t xml:space="preserve">개소 </t>
        </r>
        <r>
          <rPr>
            <sz val="10"/>
            <rFont val="Arial"/>
            <family val="2"/>
          </rPr>
          <t xml:space="preserve">× 521,000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 xml:space="preserve">= 3,647,000</t>
        </r>
        <r>
          <rPr>
            <sz val="10"/>
            <rFont val="Noto Sans CJK SC"/>
            <family val="2"/>
          </rPr>
          <t xml:space="preserve">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절사 전 금액을 입력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견적서 소계 </t>
        </r>
        <r>
          <rPr>
            <sz val="10"/>
            <rFont val="Arial"/>
            <family val="2"/>
          </rPr>
          <t xml:space="preserve">3,645,455</t>
        </r>
        <r>
          <rPr>
            <sz val="10"/>
            <rFont val="Noto Sans CJK SC"/>
            <family val="2"/>
          </rPr>
          <t xml:space="preserve">원은 절사 </t>
        </r>
        <r>
          <rPr>
            <sz val="10"/>
            <rFont val="Arial"/>
            <family val="2"/>
          </rPr>
          <t xml:space="preserve">-1,545</t>
        </r>
        <r>
          <rPr>
            <sz val="10"/>
            <rFont val="Noto Sans CJK SC"/>
            <family val="2"/>
          </rPr>
          <t xml:space="preserve">원 차감 후 금액이므로 중복 차감하지 않음</t>
        </r>
        <r>
          <rPr>
            <sz val="10"/>
            <rFont val="Arial"/>
            <family val="2"/>
          </rPr>
          <t xml:space="preserve">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125</xdr:colOff>
                <xdr:row>1</xdr:row>
                <xdr:rowOff>28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Noto Sans CJK SC"/>
            <family val="2"/>
          </rPr>
          <t xml:space="preserve">부가세 포함 총견적 </t>
        </r>
        <r>
          <rPr>
            <sz val="10"/>
            <rFont val="Arial"/>
            <family val="2"/>
          </rPr>
          <t xml:space="preserve">E9/F9</t>
        </r>
        <r>
          <rPr>
            <sz val="10"/>
            <rFont val="Noto Sans CJK SC"/>
            <family val="2"/>
          </rPr>
          <t xml:space="preserve">를 비교하여 저가 견적의 소계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부가세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절사액을 일괄 적용한 산출가격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안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계약업체 선정이나 계약 적법성 판단은 아님</t>
        </r>
        <r>
          <rPr>
            <sz val="10"/>
            <rFont val="Arial"/>
            <family val="2"/>
          </rPr>
          <t xml:space="preserve">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125</xdr:colOff>
                <xdr:row>1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<sst xmlns="http://schemas.openxmlformats.org/spreadsheetml/2006/main" count="32" uniqueCount="31">
  <si>
    <t xml:space="preserve">산출기초조사서</t>
  </si>
  <si>
    <r>
      <rPr>
        <sz val="10"/>
        <rFont val="Noto Sans CJK SC"/>
        <family val="2"/>
      </rPr>
      <t xml:space="preserve">공사명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홍대문화관광특구 지주식 안내판 철거 전기공사</t>
    </r>
  </si>
  <si>
    <r>
      <rPr>
        <sz val="11"/>
        <color rgb="FF000000"/>
        <rFont val="Noto Sans CJK SC"/>
        <family val="2"/>
      </rPr>
      <t xml:space="preserve">     단위 </t>
    </r>
    <r>
      <rPr>
        <sz val="11"/>
        <color rgb="FF000000"/>
        <rFont val="굴림체"/>
        <family val="3"/>
        <charset val="129"/>
      </rPr>
      <t xml:space="preserve">: </t>
    </r>
    <r>
      <rPr>
        <sz val="11"/>
        <color rgb="FF000000"/>
        <rFont val="Noto Sans CJK SC"/>
        <family val="2"/>
      </rPr>
      <t xml:space="preserve">원</t>
    </r>
  </si>
  <si>
    <t xml:space="preserve">품명</t>
  </si>
  <si>
    <t xml:space="preserve">규격</t>
  </si>
  <si>
    <t xml:space="preserve">단위</t>
  </si>
  <si>
    <t xml:space="preserve">수량</t>
  </si>
  <si>
    <t xml:space="preserve">산출조사근거</t>
  </si>
  <si>
    <r>
      <rPr>
        <b val="true"/>
        <sz val="11"/>
        <color rgb="FF000000"/>
        <rFont val="Noto Sans CJK SC"/>
        <family val="2"/>
      </rPr>
      <t xml:space="preserve">산출가격</t>
    </r>
    <r>
      <rPr>
        <b val="true"/>
        <sz val="11"/>
        <color rgb="FF000000"/>
        <rFont val="굴림체"/>
        <family val="3"/>
        <charset val="129"/>
      </rPr>
      <t xml:space="preserve">(</t>
    </r>
    <r>
      <rPr>
        <b val="true"/>
        <sz val="11"/>
        <color rgb="FF000000"/>
        <rFont val="Noto Sans CJK SC"/>
        <family val="2"/>
      </rPr>
      <t xml:space="preserve">안</t>
    </r>
    <r>
      <rPr>
        <b val="true"/>
        <sz val="11"/>
        <color rgb="FF000000"/>
        <rFont val="굴림체"/>
        <family val="3"/>
        <charset val="129"/>
      </rPr>
      <t xml:space="preserve">)</t>
    </r>
  </si>
  <si>
    <t xml:space="preserve">비고</t>
  </si>
  <si>
    <t xml:space="preserve">㈜국민전력기업</t>
  </si>
  <si>
    <t xml:space="preserve">경동이엔씨㈜</t>
  </si>
  <si>
    <t xml:space="preserve">단가</t>
  </si>
  <si>
    <t xml:space="preserve">금액</t>
  </si>
  <si>
    <t xml:space="preserve">지주식 안내판
철거 전기공사</t>
  </si>
  <si>
    <r>
      <rPr>
        <sz val="11"/>
        <color rgb="FF000000"/>
        <rFont val="Noto Sans CJK SC"/>
        <family val="2"/>
      </rPr>
      <t xml:space="preserve">안내판 </t>
    </r>
    <r>
      <rPr>
        <sz val="11"/>
        <color rgb="FF000000"/>
        <rFont val="굴림체"/>
        <family val="3"/>
        <charset val="129"/>
      </rPr>
      <t xml:space="preserve">7</t>
    </r>
    <r>
      <rPr>
        <sz val="11"/>
        <color rgb="FF000000"/>
        <rFont val="Noto Sans CJK SC"/>
        <family val="2"/>
      </rPr>
      <t xml:space="preserve">개소 철거
및 전기 관련 마감</t>
    </r>
  </si>
  <si>
    <t xml:space="preserve">식</t>
  </si>
  <si>
    <r>
      <rPr>
        <sz val="11"/>
        <color rgb="FF000000"/>
        <rFont val="Noto Sans CJK SC"/>
        <family val="2"/>
      </rPr>
      <t xml:space="preserve">총 </t>
    </r>
    <r>
      <rPr>
        <sz val="11"/>
        <color rgb="FF000000"/>
        <rFont val="굴림체"/>
        <family val="3"/>
        <charset val="129"/>
      </rPr>
      <t xml:space="preserve">7</t>
    </r>
    <r>
      <rPr>
        <sz val="11"/>
        <color rgb="FF000000"/>
        <rFont val="Noto Sans CJK SC"/>
        <family val="2"/>
      </rPr>
      <t xml:space="preserve">개소</t>
    </r>
  </si>
  <si>
    <t xml:space="preserve">-</t>
  </si>
  <si>
    <t xml:space="preserve">이 하 여 백</t>
  </si>
  <si>
    <t xml:space="preserve">부가가치세</t>
  </si>
  <si>
    <r>
      <rPr>
        <sz val="11"/>
        <color rgb="FF000000"/>
        <rFont val="Noto Sans CJK SC"/>
        <family val="2"/>
      </rPr>
      <t xml:space="preserve">단수조정</t>
    </r>
    <r>
      <rPr>
        <sz val="11"/>
        <color rgb="FF000000"/>
        <rFont val="굴림체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절사</t>
    </r>
    <r>
      <rPr>
        <sz val="11"/>
        <color rgb="FF000000"/>
        <rFont val="굴림체"/>
        <family val="3"/>
        <charset val="129"/>
      </rPr>
      <t xml:space="preserve">)</t>
    </r>
  </si>
  <si>
    <t xml:space="preserve">합계</t>
  </si>
  <si>
    <t xml:space="preserve">2026. 10.</t>
  </si>
  <si>
    <r>
      <rPr>
        <sz val="12"/>
        <color rgb="FF000000"/>
        <rFont val="Noto Sans CJK SC"/>
        <family val="2"/>
      </rPr>
      <t xml:space="preserve">조 사 자 </t>
    </r>
    <r>
      <rPr>
        <sz val="12"/>
        <color rgb="FF000000"/>
        <rFont val="굴림체"/>
        <family val="3"/>
        <charset val="129"/>
      </rPr>
      <t xml:space="preserve">: [</t>
    </r>
    <r>
      <rPr>
        <sz val="12"/>
        <color rgb="FF000000"/>
        <rFont val="Noto Sans CJK SC"/>
        <family val="2"/>
      </rPr>
      <t xml:space="preserve">직급</t>
    </r>
    <r>
      <rPr>
        <sz val="12"/>
        <color rgb="FF000000"/>
        <rFont val="굴림체"/>
        <family val="3"/>
        <charset val="129"/>
      </rPr>
      <t xml:space="preserve">·</t>
    </r>
    <r>
      <rPr>
        <sz val="12"/>
        <color rgb="FF000000"/>
        <rFont val="Noto Sans CJK SC"/>
        <family val="2"/>
      </rPr>
      <t xml:space="preserve">성명 확인</t>
    </r>
    <r>
      <rPr>
        <sz val="12"/>
        <color rgb="FF000000"/>
        <rFont val="굴림체"/>
        <family val="3"/>
        <charset val="129"/>
      </rPr>
      <t xml:space="preserve">] (</t>
    </r>
    <r>
      <rPr>
        <sz val="12"/>
        <color rgb="FF000000"/>
        <rFont val="Noto Sans CJK SC"/>
        <family val="2"/>
      </rPr>
      <t xml:space="preserve">서명 또는 날인</t>
    </r>
    <r>
      <rPr>
        <sz val="12"/>
        <color rgb="FF000000"/>
        <rFont val="굴림체"/>
        <family val="3"/>
        <charset val="129"/>
      </rPr>
      <t xml:space="preserve">)</t>
    </r>
  </si>
  <si>
    <r>
      <rPr>
        <sz val="12"/>
        <color rgb="FF000000"/>
        <rFont val="Noto Sans CJK SC"/>
        <family val="2"/>
      </rPr>
      <t xml:space="preserve">확 인 자 </t>
    </r>
    <r>
      <rPr>
        <sz val="12"/>
        <color rgb="FF000000"/>
        <rFont val="굴림체"/>
        <family val="3"/>
        <charset val="129"/>
      </rPr>
      <t xml:space="preserve">: [</t>
    </r>
    <r>
      <rPr>
        <sz val="12"/>
        <color rgb="FF000000"/>
        <rFont val="Noto Sans CJK SC"/>
        <family val="2"/>
      </rPr>
      <t xml:space="preserve">직위</t>
    </r>
    <r>
      <rPr>
        <sz val="12"/>
        <color rgb="FF000000"/>
        <rFont val="굴림체"/>
        <family val="3"/>
        <charset val="129"/>
      </rPr>
      <t xml:space="preserve">·</t>
    </r>
    <r>
      <rPr>
        <sz val="12"/>
        <color rgb="FF000000"/>
        <rFont val="Noto Sans CJK SC"/>
        <family val="2"/>
      </rPr>
      <t xml:space="preserve">성명 확인</t>
    </r>
    <r>
      <rPr>
        <sz val="12"/>
        <color rgb="FF000000"/>
        <rFont val="굴림체"/>
        <family val="3"/>
        <charset val="129"/>
      </rPr>
      <t xml:space="preserve">] (</t>
    </r>
    <r>
      <rPr>
        <sz val="12"/>
        <color rgb="FF000000"/>
        <rFont val="Noto Sans CJK SC"/>
        <family val="2"/>
      </rPr>
      <t xml:space="preserve">서명 또는 날인</t>
    </r>
    <r>
      <rPr>
        <sz val="12"/>
        <color rgb="FF000000"/>
        <rFont val="굴림체"/>
        <family val="3"/>
        <charset val="129"/>
      </rPr>
      <t xml:space="preserve">)</t>
    </r>
  </si>
  <si>
    <r>
      <rPr>
        <sz val="20"/>
        <color rgb="FF000000"/>
        <rFont val="Noto Sans CJK SC"/>
        <family val="2"/>
      </rPr>
      <t xml:space="preserve">서울특별시 마포구</t>
    </r>
    <r>
      <rPr>
        <sz val="20"/>
        <color rgb="FF000000"/>
        <rFont val="굴림체"/>
        <family val="3"/>
        <charset val="129"/>
      </rPr>
      <t xml:space="preserve">(</t>
    </r>
    <r>
      <rPr>
        <sz val="20"/>
        <color rgb="FF000000"/>
        <rFont val="Noto Sans CJK SC"/>
        <family val="2"/>
      </rPr>
      <t xml:space="preserve">분임</t>
    </r>
    <r>
      <rPr>
        <sz val="20"/>
        <color rgb="FF000000"/>
        <rFont val="굴림체"/>
        <family val="3"/>
        <charset val="129"/>
      </rPr>
      <t xml:space="preserve">)</t>
    </r>
    <r>
      <rPr>
        <sz val="20"/>
        <color rgb="FF000000"/>
        <rFont val="Noto Sans CJK SC"/>
        <family val="2"/>
      </rPr>
      <t xml:space="preserve">재무관 귀하</t>
    </r>
  </si>
  <si>
    <r>
      <rPr>
        <sz val="9"/>
        <rFont val="Noto Sans CJK SC"/>
        <family val="2"/>
      </rPr>
      <t xml:space="preserve">※ 산출가격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안</t>
    </r>
    <r>
      <rPr>
        <sz val="9"/>
        <rFont val="맑은 고딕"/>
        <family val="0"/>
        <charset val="1"/>
      </rPr>
      <t xml:space="preserve">): </t>
    </r>
    <r>
      <rPr>
        <sz val="9"/>
        <rFont val="Noto Sans CJK SC"/>
        <family val="2"/>
      </rPr>
      <t xml:space="preserve">부가세 포함 총견적 비교에 따라 국민전력기업 </t>
    </r>
    <r>
      <rPr>
        <sz val="9"/>
        <rFont val="맑은 고딕"/>
        <family val="0"/>
        <charset val="1"/>
      </rPr>
      <t xml:space="preserve">2,970,000</t>
    </r>
    <r>
      <rPr>
        <sz val="9"/>
        <rFont val="Noto Sans CJK SC"/>
        <family val="2"/>
      </rPr>
      <t xml:space="preserve">원 적용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계약상대자 선정은 별도 검토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</si>
  <si>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※ 견적차액</t>
    </r>
    <r>
      <rPr>
        <sz val="9"/>
        <rFont val="맑은 고딕"/>
        <family val="0"/>
        <charset val="1"/>
      </rPr>
      <t xml:space="preserve">: 4,010,000</t>
    </r>
    <r>
      <rPr>
        <sz val="9"/>
        <rFont val="Noto Sans CJK SC"/>
        <family val="2"/>
      </rPr>
      <t xml:space="preserve">원 </t>
    </r>
    <r>
      <rPr>
        <sz val="9"/>
        <rFont val="맑은 고딕"/>
        <family val="0"/>
        <charset val="1"/>
      </rPr>
      <t xml:space="preserve">- 2,970,000</t>
    </r>
    <r>
      <rPr>
        <sz val="9"/>
        <rFont val="Noto Sans CJK SC"/>
        <family val="2"/>
      </rPr>
      <t xml:space="preserve">원 </t>
    </r>
    <r>
      <rPr>
        <sz val="9"/>
        <rFont val="맑은 고딕"/>
        <family val="0"/>
        <charset val="1"/>
      </rPr>
      <t xml:space="preserve">= 1,040,000</t>
    </r>
    <r>
      <rPr>
        <sz val="9"/>
        <rFont val="Noto Sans CJK SC"/>
        <family val="2"/>
      </rPr>
      <t xml:space="preserve">원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기재 작업항목 및 물량은 두 견적서상 동일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</si>
  <si>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※ 경동이엔씨 소계 </t>
    </r>
    <r>
      <rPr>
        <sz val="9"/>
        <rFont val="맑은 고딕"/>
        <family val="0"/>
        <charset val="1"/>
      </rPr>
      <t xml:space="preserve">3,645,455</t>
    </r>
    <r>
      <rPr>
        <sz val="9"/>
        <rFont val="Noto Sans CJK SC"/>
        <family val="2"/>
      </rPr>
      <t xml:space="preserve">원은 절사 후 금액임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본 표는 절사 전 </t>
    </r>
    <r>
      <rPr>
        <sz val="9"/>
        <rFont val="맑은 고딕"/>
        <family val="0"/>
        <charset val="1"/>
      </rPr>
      <t xml:space="preserve">3,647,000</t>
    </r>
    <r>
      <rPr>
        <sz val="9"/>
        <rFont val="Noto Sans CJK SC"/>
        <family val="2"/>
      </rPr>
      <t xml:space="preserve">원과 조정액 </t>
    </r>
    <r>
      <rPr>
        <sz val="9"/>
        <rFont val="맑은 고딕"/>
        <family val="0"/>
        <charset val="1"/>
      </rPr>
      <t xml:space="preserve">-1,545</t>
    </r>
    <r>
      <rPr>
        <sz val="9"/>
        <rFont val="Noto Sans CJK SC"/>
        <family val="2"/>
      </rPr>
      <t xml:space="preserve">원을 분리 표시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</si>
  <si>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※ 부속 작업의 개별금액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포함범위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현장조건과 예산은 계약 전 확인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국민 견적일 </t>
    </r>
    <r>
      <rPr>
        <sz val="9"/>
        <rFont val="맑은 고딕"/>
        <family val="0"/>
        <charset val="1"/>
      </rPr>
      <t xml:space="preserve">2026.10.13., </t>
    </r>
    <r>
      <rPr>
        <sz val="9"/>
        <rFont val="Noto Sans CJK SC"/>
        <family val="2"/>
      </rPr>
      <t xml:space="preserve">경동 견적일 미기재</t>
    </r>
    <r>
      <rPr>
        <sz val="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</si>
</sst>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;0"/>
    <numFmt numFmtId="166" formatCode="_(* #,##0_);_(* \(#,##0\);_(* \-_);_(@_)"/>
    <numFmt numFmtId="167" formatCode="#,##0_);[RED]\(#,##0\)"/>
  </numFmts>
  <fonts count="20">
    <font>
      <sz val="11"/>
      <color rgb="FF000000"/>
      <name val="돋움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4"/>
      <color rgb="FF00000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sz val="11"/>
      <color rgb="FF000000"/>
      <name val="Noto Sans CJK SC"/>
      <family val="2"/>
    </font>
    <font>
      <sz val="11"/>
      <color rgb="FF000000"/>
      <name val="굴림체"/>
      <family val="3"/>
      <charset val="129"/>
    </font>
    <font>
      <b val="true"/>
      <sz val="11"/>
      <color rgb="FF000000"/>
      <name val="Noto Sans CJK SC"/>
      <family val="2"/>
    </font>
    <font>
      <b val="true"/>
      <sz val="11"/>
      <color rgb="FF000000"/>
      <name val="굴림체"/>
      <family val="3"/>
      <charset val="129"/>
    </font>
    <font>
      <sz val="11"/>
      <color rgb="FF000000"/>
      <name val="돋움"/>
      <family val="3"/>
      <charset val="129"/>
    </font>
    <font>
      <sz val="12"/>
      <color rgb="FF000000"/>
      <name val="굴림체"/>
      <family val="3"/>
      <charset val="129"/>
    </font>
    <font>
      <sz val="12"/>
      <color rgb="FF000000"/>
      <name val="Noto Sans CJK SC"/>
      <family val="2"/>
    </font>
    <font>
      <sz val="20"/>
      <color rgb="FF000000"/>
      <name val="Noto Sans CJK SC"/>
      <family val="2"/>
    </font>
    <font>
      <sz val="2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9"/>
      <name val="Noto Sans CJK SC"/>
      <family val="2"/>
    </font>
    <font>
      <sz val="9"/>
      <name val="맑은 고딕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/>
      <right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7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E12" activeCellId="0" sqref="E12"/>
    </sheetView>
  </sheetViews>
  <sheetFormatPr defaultColWidth="8.890625" defaultRowHeight="13.5" customHeight="false" zeroHeight="false" outlineLevelRow="0" outlineLevelCol="0"/>
  <cols>
    <col collapsed="false" customWidth="true" hidden="false" outlineLevel="0" max="1" min="1" style="1" width="11.67"/>
    <col collapsed="false" customWidth="true" hidden="false" outlineLevel="0" max="2" min="2" style="1" width="15.11"/>
    <col collapsed="false" customWidth="true" hidden="false" outlineLevel="0" max="4" min="3" style="1" width="5.33"/>
    <col collapsed="false" customWidth="true" hidden="false" outlineLevel="0" max="6" min="5" style="1" width="14"/>
    <col collapsed="false" customWidth="true" hidden="false" outlineLevel="0" max="7" min="7" style="1" width="13.11"/>
    <col collapsed="false" customWidth="true" hidden="false" outlineLevel="0" max="8" min="8" style="1" width="12.78"/>
    <col collapsed="false" customWidth="true" hidden="false" outlineLevel="0" max="9" min="9" style="1" width="7.89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9.75" hidden="false" customHeight="true" outlineLevel="0" collapsed="false">
      <c r="A2" s="3" t="s">
        <v>1</v>
      </c>
      <c r="B2" s="3"/>
      <c r="C2" s="3"/>
      <c r="D2" s="3"/>
      <c r="E2" s="3"/>
      <c r="F2" s="3"/>
      <c r="G2" s="4" t="s">
        <v>2</v>
      </c>
      <c r="H2" s="4"/>
      <c r="I2" s="4"/>
    </row>
    <row r="3" customFormat="false" ht="39.75" hidden="false" customHeight="true" outlineLevel="0" collapsed="false">
      <c r="A3" s="5" t="s">
        <v>3</v>
      </c>
      <c r="B3" s="6" t="s">
        <v>4</v>
      </c>
      <c r="C3" s="6" t="s">
        <v>5</v>
      </c>
      <c r="D3" s="6" t="s">
        <v>6</v>
      </c>
      <c r="E3" s="7" t="s">
        <v>7</v>
      </c>
      <c r="F3" s="7"/>
      <c r="G3" s="6" t="s">
        <v>8</v>
      </c>
      <c r="H3" s="6"/>
      <c r="I3" s="8" t="s">
        <v>9</v>
      </c>
    </row>
    <row r="4" customFormat="false" ht="39.75" hidden="false" customHeight="true" outlineLevel="0" collapsed="false">
      <c r="A4" s="5"/>
      <c r="B4" s="6"/>
      <c r="C4" s="6"/>
      <c r="D4" s="6"/>
      <c r="E4" s="9" t="s">
        <v>10</v>
      </c>
      <c r="F4" s="9" t="s">
        <v>11</v>
      </c>
      <c r="G4" s="10" t="s">
        <v>12</v>
      </c>
      <c r="H4" s="10" t="s">
        <v>13</v>
      </c>
      <c r="I4" s="8"/>
    </row>
    <row r="5" customFormat="false" ht="75.75" hidden="false" customHeight="true" outlineLevel="0" collapsed="false">
      <c r="A5" s="11" t="s">
        <v>14</v>
      </c>
      <c r="B5" s="12" t="s">
        <v>15</v>
      </c>
      <c r="C5" s="13" t="s">
        <v>16</v>
      </c>
      <c r="D5" s="13" t="n">
        <v>1</v>
      </c>
      <c r="E5" s="14" t="n">
        <v>2709000</v>
      </c>
      <c r="F5" s="14" t="n">
        <v>3647000</v>
      </c>
      <c r="G5" s="14" t="n">
        <f aca="false">IF(E9&lt;=F9,E5,F5)</f>
        <v>2709000</v>
      </c>
      <c r="H5" s="14" t="n">
        <f aca="false">G5*D5</f>
        <v>2709000</v>
      </c>
      <c r="I5" s="15" t="s">
        <v>17</v>
      </c>
    </row>
    <row r="6" customFormat="false" ht="39.75" hidden="false" customHeight="true" outlineLevel="0" collapsed="false">
      <c r="A6" s="16" t="s">
        <v>18</v>
      </c>
      <c r="B6" s="13" t="s">
        <v>19</v>
      </c>
      <c r="C6" s="13"/>
      <c r="D6" s="13"/>
      <c r="E6" s="13"/>
      <c r="F6" s="13"/>
      <c r="G6" s="13"/>
      <c r="H6" s="13"/>
      <c r="I6" s="17" t="s">
        <v>18</v>
      </c>
    </row>
    <row r="7" customFormat="false" ht="39.75" hidden="false" customHeight="true" outlineLevel="0" collapsed="false">
      <c r="A7" s="11" t="s">
        <v>20</v>
      </c>
      <c r="B7" s="13"/>
      <c r="C7" s="13"/>
      <c r="D7" s="13"/>
      <c r="E7" s="14" t="n">
        <v>270000</v>
      </c>
      <c r="F7" s="14" t="n">
        <v>364545</v>
      </c>
      <c r="G7" s="14" t="n">
        <f aca="false">IF(E9&lt;=F9,E7,F7)</f>
        <v>270000</v>
      </c>
      <c r="H7" s="14" t="n">
        <f aca="false">G7</f>
        <v>270000</v>
      </c>
      <c r="I7" s="15"/>
    </row>
    <row r="8" customFormat="false" ht="39.75" hidden="false" customHeight="true" outlineLevel="0" collapsed="false">
      <c r="A8" s="11" t="s">
        <v>21</v>
      </c>
      <c r="B8" s="13"/>
      <c r="C8" s="13"/>
      <c r="D8" s="13"/>
      <c r="E8" s="18" t="n">
        <v>-9000</v>
      </c>
      <c r="F8" s="18" t="n">
        <v>-1545</v>
      </c>
      <c r="G8" s="18" t="n">
        <f aca="false">IF(E9&lt;=F9,E8,F8)</f>
        <v>-9000</v>
      </c>
      <c r="H8" s="18" t="n">
        <f aca="false">G8</f>
        <v>-9000</v>
      </c>
      <c r="I8" s="15"/>
    </row>
    <row r="9" customFormat="false" ht="39.75" hidden="false" customHeight="true" outlineLevel="0" collapsed="false">
      <c r="A9" s="19" t="s">
        <v>22</v>
      </c>
      <c r="B9" s="12"/>
      <c r="C9" s="13"/>
      <c r="D9" s="13"/>
      <c r="E9" s="14" t="n">
        <f aca="false">SUM(E5,E7:E8)</f>
        <v>2970000</v>
      </c>
      <c r="F9" s="14" t="n">
        <f aca="false">SUM(F5,F7:F8)</f>
        <v>4010000</v>
      </c>
      <c r="G9" s="14" t="n">
        <f aca="false">SUM(G5,G7:G8)</f>
        <v>2970000</v>
      </c>
      <c r="H9" s="20" t="n">
        <f aca="false">SUM(H5,H7:H8)</f>
        <v>2970000</v>
      </c>
      <c r="I9" s="15"/>
    </row>
    <row r="10" customFormat="false" ht="39.75" hidden="false" customHeight="true" outlineLevel="0" collapsed="false">
      <c r="A10" s="21"/>
      <c r="B10" s="22"/>
      <c r="C10" s="23"/>
      <c r="D10" s="23"/>
      <c r="E10" s="24"/>
      <c r="F10" s="24"/>
      <c r="G10" s="24"/>
      <c r="H10" s="24"/>
      <c r="I10" s="25"/>
    </row>
    <row r="11" customFormat="false" ht="39.75" hidden="false" customHeight="true" outlineLevel="0" collapsed="false">
      <c r="A11" s="26"/>
      <c r="B11" s="27"/>
      <c r="C11" s="27"/>
      <c r="D11" s="27"/>
      <c r="E11" s="28"/>
      <c r="F11" s="29" t="s">
        <v>23</v>
      </c>
      <c r="G11" s="29"/>
      <c r="H11" s="28"/>
      <c r="I11" s="27"/>
    </row>
    <row r="12" customFormat="false" ht="39.75" hidden="false" customHeight="true" outlineLevel="0" collapsed="false">
      <c r="A12" s="26"/>
      <c r="B12" s="27"/>
      <c r="C12" s="27"/>
      <c r="D12" s="27"/>
      <c r="E12" s="30" t="s">
        <v>24</v>
      </c>
      <c r="F12" s="30"/>
      <c r="G12" s="30"/>
      <c r="H12" s="30"/>
      <c r="I12" s="27"/>
    </row>
    <row r="13" customFormat="false" ht="39.75" hidden="false" customHeight="true" outlineLevel="0" collapsed="false">
      <c r="A13" s="26"/>
      <c r="B13" s="27"/>
      <c r="C13" s="27"/>
      <c r="D13" s="27"/>
      <c r="E13" s="30" t="s">
        <v>25</v>
      </c>
      <c r="F13" s="30"/>
      <c r="G13" s="30"/>
      <c r="H13" s="30"/>
      <c r="I13" s="27"/>
    </row>
    <row r="14" customFormat="false" ht="39.75" hidden="false" customHeight="true" outlineLevel="0" collapsed="false">
      <c r="A14" s="31" t="s">
        <v>26</v>
      </c>
      <c r="B14" s="31"/>
      <c r="C14" s="31"/>
      <c r="D14" s="31"/>
      <c r="E14" s="31"/>
      <c r="F14" s="31"/>
      <c r="G14" s="32"/>
      <c r="H14" s="32"/>
      <c r="I14" s="33"/>
    </row>
    <row r="15" customFormat="false" ht="30" hidden="false" customHeight="true" outlineLevel="0" collapsed="false">
      <c r="A15" s="34" t="s">
        <v>27</v>
      </c>
      <c r="B15" s="34"/>
      <c r="C15" s="34"/>
      <c r="D15" s="34"/>
      <c r="E15" s="34"/>
      <c r="F15" s="34"/>
      <c r="G15" s="34"/>
      <c r="H15" s="34"/>
      <c r="I15" s="34"/>
    </row>
    <row r="16" customFormat="false" ht="30" hidden="false" customHeight="true" outlineLevel="0" collapsed="false">
      <c r="A16" s="34" t="s">
        <v>28</v>
      </c>
      <c r="B16" s="34"/>
      <c r="C16" s="34"/>
      <c r="D16" s="34"/>
      <c r="E16" s="34"/>
      <c r="F16" s="34"/>
      <c r="G16" s="34"/>
      <c r="H16" s="34"/>
      <c r="I16" s="34"/>
    </row>
    <row r="17" customFormat="false" ht="30" hidden="false" customHeight="true" outlineLevel="0" collapsed="false">
      <c r="A17" s="34" t="s">
        <v>29</v>
      </c>
      <c r="B17" s="34"/>
      <c r="C17" s="34"/>
      <c r="D17" s="34"/>
      <c r="E17" s="34"/>
      <c r="F17" s="34"/>
      <c r="G17" s="34"/>
      <c r="H17" s="34"/>
      <c r="I17" s="34"/>
    </row>
    <row r="18" customFormat="false" ht="30" hidden="false" customHeight="true" outlineLevel="0" collapsed="false">
      <c r="A18" s="34" t="s">
        <v>30</v>
      </c>
      <c r="B18" s="34"/>
      <c r="C18" s="34"/>
      <c r="D18" s="34"/>
      <c r="E18" s="34"/>
      <c r="F18" s="34"/>
      <c r="G18" s="34"/>
      <c r="H18" s="34"/>
      <c r="I18" s="34"/>
    </row>
  </sheetData>
  <mergeCells count="19">
    <mergeCell ref="A1:I1"/>
    <mergeCell ref="A2:F2"/>
    <mergeCell ref="G2:I2"/>
    <mergeCell ref="A3:A4"/>
    <mergeCell ref="B3:B4"/>
    <mergeCell ref="C3:C4"/>
    <mergeCell ref="D3:D4"/>
    <mergeCell ref="E3:F3"/>
    <mergeCell ref="G3:H3"/>
    <mergeCell ref="I3:I4"/>
    <mergeCell ref="B6:H6"/>
    <mergeCell ref="F11:G11"/>
    <mergeCell ref="E12:H12"/>
    <mergeCell ref="E13:H13"/>
    <mergeCell ref="A14:F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472222222222222" right="0.354166666666667" top="0.45" bottom="0.4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2004-02-02T04:02:48Z</dcterms:created>
  <dc:creator>청소환경과</dc:creator>
  <dc:description/>
  <dc:language>en-US</dc:language>
  <cp:lastModifiedBy>user</cp:lastModifiedBy>
  <cp:lastPrinted>2019-12-23T11:13:10Z</cp:lastPrinted>
  <dcterms:modified xsi:type="dcterms:W3CDTF">2026-10-16T05:45:58Z</dcterms:modified>
  <cp:revision>2</cp:revision>
  <dc:subject/>
  <dc:title/>
  <cp:version>1100.0100.01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